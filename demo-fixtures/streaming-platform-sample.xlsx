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223b21bb7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30924c6536f34e78"/>
    <x:sheet xmlns:r="http://schemas.openxmlformats.org/officeDocument/2006/relationships" name="検証期待値" sheetId="2" r:id="Rb0d8dffa2c12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name val="Arial"/>
    </x:font>
    <x:font>
      <x:b/>
      <x:sz val="16"/>
      <x:color rgb="FFFFFFFF"/>
      <x:name val="Arial"/>
    </x:font>
    <x:font>
      <x:b/>
      <x:sz val="10"/>
      <x:color rgb="FF92400E"/>
      <x:name val="Arial"/>
    </x:font>
    <x:font>
      <x:b/>
      <x:sz val="10"/>
      <x:color rgb="FF172554"/>
      <x:name val="Arial"/>
    </x:font>
    <x:font>
      <x:sz val="10"/>
      <x:color rgb="FF991B1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c9016985e4e49" /><Relationship Type="http://schemas.openxmlformats.org/officeDocument/2006/relationships/theme" Target="/xl/theme/theme1.xml" Id="Re78edc84d2b1462e" /><Relationship Type="http://schemas.openxmlformats.org/officeDocument/2006/relationships/sharedStrings" Target="/xl/sharedStrings.xml" Id="R345254042a664281" /><Relationship Type="http://schemas.openxmlformats.org/officeDocument/2006/relationships/worksheet" Target="/xl/worksheets/sheet1.xml" Id="R30924c6536f34e78" /><Relationship Type="http://schemas.openxmlformats.org/officeDocument/2006/relationships/worksheet" Target="/xl/worksheets/sheet2.xml" Id="Rb0d8dffa2c1247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" t="str">
        <x:v>配信プラットフォーム風 売上報告（架空）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 t="str">
        <x:v>非公式・架空データ・実在企業発行書式ではありません。取込・加工テスト専用。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 t="str">
        <x:v>対象期間: 2026-08 / 作品: WRK-DEMO 風のあとさき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3" t="str">
        <x:v>作品CD</x:v>
      </x:c>
      <x:c r="B4" s="13" t="str">
        <x:v>商品ｺｰﾄﾞ</x:v>
      </x:c>
      <x:c r="C4" s="13" t="str">
        <x:v>配信区分</x:v>
      </x:c>
      <x:c r="D4" s="13" t="str">
        <x:v>対象月</x:v>
      </x:c>
      <x:c r="E4" s="13" t="str">
        <x:v>視聴/契約数</x:v>
      </x:c>
      <x:c r="F4" s="13" t="str">
        <x:v>単価(税抜)</x:v>
      </x:c>
      <x:c r="G4" s="13" t="str">
        <x:v>総額</x:v>
      </x:c>
      <x:c r="H4" s="13" t="str">
        <x:v>PF手数料</x:v>
      </x:c>
      <x:c r="I4" s="13" t="str">
        <x:v>正味売上</x:v>
      </x:c>
      <x:c r="J4" s="13" t="str">
        <x:v>備考</x:v>
      </x:c>
    </x:row>
    <x:row r="5">
      <x:c r="A5" s="12" t="str">
        <x:v>WRK-DEMO</x:v>
      </x:c>
      <x:c r="B5" s="12" t="str">
        <x:v>SKU-DIGI</x:v>
      </x:c>
      <x:c r="C5" s="12" t="str">
        <x:v>TVOD</x:v>
      </x:c>
      <x:c r="D5" s="12" t="str">
        <x:v>2026/08</x:v>
      </x:c>
      <x:c r="E5" s="12" t="n">
        <x:v>1250</x:v>
      </x:c>
      <x:c r="F5" s="12" t="n">
        <x:v>420</x:v>
      </x:c>
      <x:c r="G5" s="15" t="n">
        <x:v>525000</x:v>
      </x:c>
      <x:c r="H5" s="15" t="n">
        <x:v>157500</x:v>
      </x:c>
      <x:c r="I5" s="15" t="n">
        <x:v>367500</x:v>
      </x:c>
      <x:c r="J5" s="12" t="str">
        <x:v>正常</x:v>
      </x:c>
    </x:row>
    <x:row r="6">
      <x:c r="A6" s="12" t="str">
        <x:v>WRK-DEMO</x:v>
      </x:c>
      <x:c r="B6" s="12" t="str">
        <x:v>SKU-DIGI</x:v>
      </x:c>
      <x:c r="C6" s="12" t="str">
        <x:v>SVOD</x:v>
      </x:c>
      <x:c r="D6" s="12" t="str">
        <x:v>2026/08</x:v>
      </x:c>
      <x:c r="E6" s="12" t="n">
        <x:v>1</x:v>
      </x:c>
      <x:c r="F6" s="12" t="n">
        <x:v>480000</x:v>
      </x:c>
      <x:c r="G6" s="15" t="n">
        <x:v>480000</x:v>
      </x:c>
      <x:c r="H6" s="15" t="n">
        <x:v>0</x:v>
      </x:c>
      <x:c r="I6" s="15" t="n">
        <x:v>480000</x:v>
      </x:c>
      <x:c r="J6" s="12" t="str">
        <x:v>月額固定・正常</x:v>
      </x:c>
    </x:row>
    <x:row r="7">
      <x:c r="A7" s="12" t="str">
        <x:v>WRK-DEMO</x:v>
      </x:c>
      <x:c r="B7" s="12" t="str">
        <x:v>SKU-DIGI</x:v>
      </x:c>
      <x:c r="C7" s="12" t="str">
        <x:v>EST</x:v>
      </x:c>
      <x:c r="D7" s="12" t="str">
        <x:v>2026/08</x:v>
      </x:c>
      <x:c r="E7" s="12" t="n">
        <x:v>320</x:v>
      </x:c>
      <x:c r="F7" s="12" t="n">
        <x:v>1200</x:v>
      </x:c>
      <x:c r="G7" s="15" t="n">
        <x:v>384000</x:v>
      </x:c>
      <x:c r="H7" s="15" t="n">
        <x:v>76800</x:v>
      </x:c>
      <x:c r="I7" s="15" t="n">
        <x:v>307200</x:v>
      </x:c>
      <x:c r="J7" s="12" t="str">
        <x:v>正常</x:v>
      </x:c>
    </x:row>
    <x:row r="8">
      <x:c r="A8" s="14" t="str">
        <x:v>WRK-DEMO</x:v>
      </x:c>
      <x:c r="B8" s="14" t="str"/>
      <x:c r="C8" s="14" t="str">
        <x:v>TVOD</x:v>
      </x:c>
      <x:c r="D8" s="14" t="str">
        <x:v>2026/08</x:v>
      </x:c>
      <x:c r="E8" s="14" t="n">
        <x:v>45</x:v>
      </x:c>
      <x:c r="F8" s="14" t="n">
        <x:v>500</x:v>
      </x:c>
      <x:c r="G8" s="16" t="n">
        <x:v>22500</x:v>
      </x:c>
      <x:c r="H8" s="16" t="n">
        <x:v>6750</x:v>
      </x:c>
      <x:c r="I8" s="16" t="n">
        <x:v>16000</x:v>
      </x:c>
      <x:c r="J8" s="14" t="str">
        <x:v>要修正: 商品コード欠落・正味額不一致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7" t="str">
        <x:v>検証項目</x:v>
      </x:c>
      <x:c r="B1" s="17" t="str">
        <x:v>期待値</x:v>
      </x:c>
      <x:c r="C1" s="17"/>
      <x:c r="D1" s="17" t="str">
        <x:v>総額再計算</x:v>
      </x:c>
      <x:c r="E1" s="17" t="str">
        <x:v>手数料再計算</x:v>
      </x:c>
      <x:c r="F1" s="17" t="str">
        <x:v>正味再計算</x:v>
      </x:c>
    </x:row>
    <x:row r="2">
      <x:c r="A2" s="1" t="str">
        <x:v>注意</x:v>
      </x:c>
      <x:c r="B2" s="1" t="str">
        <x:v>非公式・架空データ・実在企業発行書式ではありません。取込・加工テスト専用。</x:v>
      </x:c>
      <x:c r="C2" s="1"/>
      <x:c r="D2" s="1" t="n">
        <x:f>Details!E5*Details!F5</x:f>
        <x:v>525000</x:v>
      </x:c>
      <x:c r="E2" s="1" t="n">
        <x:f>Details!H5</x:f>
        <x:v>157500</x:v>
      </x:c>
      <x:c r="F2" s="1" t="n">
        <x:f>D2-E2</x:f>
        <x:v>367500</x:v>
      </x:c>
    </x:row>
    <x:row r="3">
      <x:c r="A3" s="1" t="str">
        <x:v>正常行数</x:v>
      </x:c>
      <x:c r="B3" s="1" t="n">
        <x:v>3</x:v>
      </x:c>
      <x:c r="C3" s="1"/>
      <x:c r="D3" s="1" t="n">
        <x:f>Details!E6*Details!F6</x:f>
        <x:v>480000</x:v>
      </x:c>
      <x:c r="E3" s="1" t="n">
        <x:f>Details!H6</x:f>
        <x:v>0</x:v>
      </x:c>
      <x:c r="F3" s="1" t="n">
        <x:f>D3-E3</x:f>
        <x:v>480000</x:v>
      </x:c>
    </x:row>
    <x:row r="4">
      <x:c r="A4" s="1" t="str">
        <x:v>総額合計</x:v>
      </x:c>
      <x:c r="B4" s="1" t="n">
        <x:v>1389000</x:v>
      </x:c>
      <x:c r="C4" s="1"/>
      <x:c r="D4" s="1" t="n">
        <x:f>Details!E7*Details!F7</x:f>
        <x:v>384000</x:v>
      </x:c>
      <x:c r="E4" s="1" t="n">
        <x:f>Details!H7</x:f>
        <x:v>76800</x:v>
      </x:c>
      <x:c r="F4" s="1" t="n">
        <x:f>D4-E4</x:f>
        <x:v>307200</x:v>
      </x:c>
    </x:row>
    <x:row r="5">
      <x:c r="A5" s="1" t="str">
        <x:v>手数料合計</x:v>
      </x:c>
      <x:c r="B5" s="1" t="n">
        <x:v>234300</x:v>
      </x:c>
      <x:c r="C5" s="1"/>
      <x:c r="D5" s="1"/>
      <x:c r="E5" s="1"/>
      <x:c r="F5" s="1"/>
    </x:row>
    <x:row r="6">
      <x:c r="A6" s="1" t="str">
        <x:v>正味売上合計</x:v>
      </x:c>
      <x:c r="B6" s="1" t="n">
        <x:v>1154700</x:v>
      </x:c>
      <x:c r="C6" s="1"/>
      <x:c r="D6" s="1"/>
      <x:c r="E6" s="1"/>
      <x:c r="F6" s="1"/>
    </x:row>
    <x:row r="7">
      <x:c r="A7" s="1" t="str">
        <x:v>要修正行</x:v>
      </x:c>
      <x:c r="B7" s="1" t="str">
        <x:v>Details 8行目</x:v>
      </x:c>
      <x:c r="C7" s="1"/>
      <x:c r="D7" s="1"/>
      <x:c r="E7" s="1"/>
      <x:c r="F7" s="1"/>
    </x:row>
  </x:sheetData>
  <x:pageMargins left="0.7" right="0.7" top="0.75" bottom="0.75" header="0.3" footer="0.3"/>
</x:worksheet>
</file>