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8d735c84e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3f1147957c614687"/>
    <x:sheet xmlns:r="http://schemas.openxmlformats.org/officeDocument/2006/relationships" name="検証期待値" sheetId="2" r:id="Ra7f1c72edda3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name val="Arial"/>
    </x:font>
    <x:font>
      <x:b/>
      <x:sz val="16"/>
      <x:color rgb="FFFFFFFF"/>
      <x:name val="Arial"/>
    </x:font>
    <x:font>
      <x:b/>
      <x:sz val="10"/>
      <x:color rgb="FF92400E"/>
      <x:name val="Arial"/>
    </x:font>
    <x:font>
      <x:b/>
      <x:sz val="10"/>
      <x:color rgb="FF172554"/>
      <x:name val="Arial"/>
    </x:font>
    <x:font>
      <x:sz val="10"/>
      <x:color rgb="FF991B1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0637323c04a4c" /><Relationship Type="http://schemas.openxmlformats.org/officeDocument/2006/relationships/theme" Target="/xl/theme/theme1.xml" Id="Rc77683cca8874c6f" /><Relationship Type="http://schemas.openxmlformats.org/officeDocument/2006/relationships/sharedStrings" Target="/xl/sharedStrings.xml" Id="R5d20fe84f19a413c" /><Relationship Type="http://schemas.openxmlformats.org/officeDocument/2006/relationships/worksheet" Target="/xl/worksheets/sheet1.xml" Id="R3f1147957c614687" /><Relationship Type="http://schemas.openxmlformats.org/officeDocument/2006/relationships/worksheet" Target="/xl/worksheets/sheet2.xml" Id="Ra7f1c72edda3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" t="str">
        <x:v>ビデオグラム事業者風 出荷・返品報告（架空）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1" t="str">
        <x:v>非公式・架空データ・実在企業発行書式ではありません。取込・加工テスト専用。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2" t="str">
        <x:v>対象期間: 2026-08 / 作品: WRK-DEMO 風のあとさき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3" t="str">
        <x:v>作品コード</x:v>
      </x:c>
      <x:c r="B4" s="13" t="str">
        <x:v>品番</x:v>
      </x:c>
      <x:c r="C4" s="13" t="str">
        <x:v>商材</x:v>
      </x:c>
      <x:c r="D4" s="13" t="str">
        <x:v>集計年月</x:v>
      </x:c>
      <x:c r="E4" s="13" t="str">
        <x:v>出荷数量</x:v>
      </x:c>
      <x:c r="F4" s="13" t="str">
        <x:v>返品数</x:v>
      </x:c>
      <x:c r="G4" s="13" t="str">
        <x:v>正味数量</x:v>
      </x:c>
      <x:c r="H4" s="13" t="str">
        <x:v>精算単価</x:v>
      </x:c>
      <x:c r="I4" s="13" t="str">
        <x:v>正味額</x:v>
      </x:c>
      <x:c r="J4" s="13" t="str">
        <x:v>検証メモ</x:v>
      </x:c>
    </x:row>
    <x:row r="5">
      <x:c r="A5" s="12" t="str">
        <x:v>WRK-DEMO</x:v>
      </x:c>
      <x:c r="B5" s="12" t="str">
        <x:v>SKU-PACK</x:v>
      </x:c>
      <x:c r="C5" s="12" t="str">
        <x:v>レンタルDVD</x:v>
      </x:c>
      <x:c r="D5" s="12" t="str">
        <x:v>2026年8月</x:v>
      </x:c>
      <x:c r="E5" s="15" t="n">
        <x:v>800</x:v>
      </x:c>
      <x:c r="F5" s="15" t="n">
        <x:v>35</x:v>
      </x:c>
      <x:c r="G5" s="15" t="n">
        <x:v>765</x:v>
      </x:c>
      <x:c r="H5" s="15" t="n">
        <x:v>420</x:v>
      </x:c>
      <x:c r="I5" s="15" t="n">
        <x:v>321300</x:v>
      </x:c>
      <x:c r="J5" s="12" t="str">
        <x:v>正常</x:v>
      </x:c>
    </x:row>
    <x:row r="6">
      <x:c r="A6" s="12" t="str">
        <x:v>WRK-DEMO</x:v>
      </x:c>
      <x:c r="B6" s="12" t="str">
        <x:v>SKU-PACK</x:v>
      </x:c>
      <x:c r="C6" s="12" t="str">
        <x:v>レンタルBD</x:v>
      </x:c>
      <x:c r="D6" s="12" t="str">
        <x:v>2026年8月</x:v>
      </x:c>
      <x:c r="E6" s="15" t="n">
        <x:v>260</x:v>
      </x:c>
      <x:c r="F6" s="15" t="n">
        <x:v>12</x:v>
      </x:c>
      <x:c r="G6" s="15" t="n">
        <x:v>248</x:v>
      </x:c>
      <x:c r="H6" s="15" t="n">
        <x:v>580</x:v>
      </x:c>
      <x:c r="I6" s="15" t="n">
        <x:v>143840</x:v>
      </x:c>
      <x:c r="J6" s="12" t="str">
        <x:v>正常</x:v>
      </x:c>
    </x:row>
    <x:row r="7">
      <x:c r="A7" s="12" t="str">
        <x:v>WRK-DEMO</x:v>
      </x:c>
      <x:c r="B7" s="12" t="str">
        <x:v>SKU-PACK</x:v>
      </x:c>
      <x:c r="C7" s="12" t="str">
        <x:v>セルDVD</x:v>
      </x:c>
      <x:c r="D7" s="12" t="str">
        <x:v>2026年8月</x:v>
      </x:c>
      <x:c r="E7" s="15" t="n">
        <x:v>150</x:v>
      </x:c>
      <x:c r="F7" s="15" t="n">
        <x:v>5</x:v>
      </x:c>
      <x:c r="G7" s="15" t="n">
        <x:v>145</x:v>
      </x:c>
      <x:c r="H7" s="15" t="n">
        <x:v>1800</x:v>
      </x:c>
      <x:c r="I7" s="15" t="n">
        <x:v>261000</x:v>
      </x:c>
      <x:c r="J7" s="12" t="str">
        <x:v>正常</x:v>
      </x:c>
    </x:row>
    <x:row r="8">
      <x:c r="A8" s="14" t="str">
        <x:v>WRK-DEMO</x:v>
      </x:c>
      <x:c r="B8" s="14" t="str">
        <x:v>SKU-PACK</x:v>
      </x:c>
      <x:c r="C8" s="14" t="str">
        <x:v>レンタルDVD</x:v>
      </x:c>
      <x:c r="D8" s="14" t="str">
        <x:v>2026年8月</x:v>
      </x:c>
      <x:c r="E8" s="16" t="n">
        <x:v>90</x:v>
      </x:c>
      <x:c r="F8" s="16" t="n">
        <x:v>120</x:v>
      </x:c>
      <x:c r="G8" s="16" t="n">
        <x:v>-30</x:v>
      </x:c>
      <x:c r="H8" s="16" t="n">
        <x:v>500</x:v>
      </x:c>
      <x:c r="I8" s="16" t="n">
        <x:v>45000</x:v>
      </x:c>
      <x:c r="J8" s="14" t="str">
        <x:v>要修正: 返品超過・正味額不一致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7" t="str">
        <x:v>検証項目</x:v>
      </x:c>
      <x:c r="B1" s="17" t="str">
        <x:v>期待値</x:v>
      </x:c>
      <x:c r="C1" s="17"/>
      <x:c r="D1" s="17" t="str">
        <x:v>正味数量再計算</x:v>
      </x:c>
      <x:c r="E1" s="17" t="str">
        <x:v>正味額再計算</x:v>
      </x:c>
      <x:c r="F1" s="17"/>
    </x:row>
    <x:row r="2">
      <x:c r="A2" s="1" t="str">
        <x:v>注意</x:v>
      </x:c>
      <x:c r="B2" s="1" t="str">
        <x:v>非公式・架空データ・実在企業発行書式ではありません。取込・加工テスト専用。</x:v>
      </x:c>
      <x:c r="C2" s="1"/>
      <x:c r="D2" s="1" t="n">
        <x:f>Details!E5-Details!F5</x:f>
        <x:v>765</x:v>
      </x:c>
      <x:c r="E2" s="1" t="n">
        <x:f>D2*Details!H5</x:f>
        <x:v>321300</x:v>
      </x:c>
      <x:c r="F2" s="1"/>
    </x:row>
    <x:row r="3">
      <x:c r="A3" s="1" t="str">
        <x:v>正常行数</x:v>
      </x:c>
      <x:c r="B3" s="1" t="n">
        <x:v>3</x:v>
      </x:c>
      <x:c r="C3" s="1"/>
      <x:c r="D3" s="1" t="n">
        <x:f>Details!E6-Details!F6</x:f>
        <x:v>248</x:v>
      </x:c>
      <x:c r="E3" s="1" t="n">
        <x:f>D3*Details!H6</x:f>
        <x:v>143840</x:v>
      </x:c>
      <x:c r="F3" s="1"/>
    </x:row>
    <x:row r="4">
      <x:c r="A4" s="1" t="str">
        <x:v>正味数量合計</x:v>
      </x:c>
      <x:c r="B4" s="1" t="n">
        <x:v>1158</x:v>
      </x:c>
      <x:c r="C4" s="1"/>
      <x:c r="D4" s="1" t="n">
        <x:f>Details!E7-Details!F7</x:f>
        <x:v>145</x:v>
      </x:c>
      <x:c r="E4" s="1" t="n">
        <x:f>D4*Details!H7</x:f>
        <x:v>261000</x:v>
      </x:c>
      <x:c r="F4" s="1"/>
    </x:row>
    <x:row r="5">
      <x:c r="A5" s="1" t="str">
        <x:v>正味額合計</x:v>
      </x:c>
      <x:c r="B5" s="1" t="n">
        <x:v>726140</x:v>
      </x:c>
      <x:c r="C5" s="1"/>
      <x:c r="D5" s="1"/>
      <x:c r="E5" s="1"/>
      <x:c r="F5" s="1"/>
    </x:row>
    <x:row r="6">
      <x:c r="A6" s="1" t="str">
        <x:v>要修正行</x:v>
      </x:c>
      <x:c r="B6" s="1" t="str">
        <x:v>Details 8行目</x:v>
      </x:c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</x:sheetData>
  <x:pageMargins left="0.7" right="0.7" top="0.75" bottom="0.75" header="0.3" footer="0.3"/>
</x:worksheet>
</file>