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検証期待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E8EEF4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34" customWidth="1" min="10" max="10"/>
  </cols>
  <sheetData>
    <row r="1">
      <c r="A1" s="1" t="inlineStr">
        <is>
          <t>ビデオグラム事業者風 出荷・返品報告（架空）</t>
        </is>
      </c>
    </row>
    <row r="2">
      <c r="A2" s="1" t="inlineStr">
        <is>
          <t>非公式・架空データ・実在企業発行書式ではありません。取込・加工テスト専用。</t>
        </is>
      </c>
    </row>
    <row r="3">
      <c r="A3" s="2" t="inlineStr">
        <is>
          <t>対象期間: 2026-07 / 取引先: 架空レンタルチェーン（架空）/ 5作品</t>
        </is>
      </c>
    </row>
    <row r="4">
      <c r="A4" s="3" t="inlineStr">
        <is>
          <t>作品コード</t>
        </is>
      </c>
      <c r="B4" s="3" t="inlineStr">
        <is>
          <t>品番</t>
        </is>
      </c>
      <c r="C4" s="3" t="inlineStr">
        <is>
          <t>商材</t>
        </is>
      </c>
      <c r="D4" s="3" t="inlineStr">
        <is>
          <t>集計年月</t>
        </is>
      </c>
      <c r="E4" s="3" t="inlineStr">
        <is>
          <t>出荷数量</t>
        </is>
      </c>
      <c r="F4" s="3" t="inlineStr">
        <is>
          <t>返品数</t>
        </is>
      </c>
      <c r="G4" s="3" t="inlineStr">
        <is>
          <t>正味数量</t>
        </is>
      </c>
      <c r="H4" s="3" t="inlineStr">
        <is>
          <t>精算単価</t>
        </is>
      </c>
      <c r="I4" s="3" t="inlineStr">
        <is>
          <t>正味額</t>
        </is>
      </c>
      <c r="J4" s="3" t="inlineStr">
        <is>
          <t>検証メモ</t>
        </is>
      </c>
    </row>
    <row r="5">
      <c r="A5" t="inlineStr">
        <is>
          <t>DEMO-W03</t>
        </is>
      </c>
      <c r="B5" t="inlineStr">
        <is>
          <t>DEMO-W03-RNT</t>
        </is>
      </c>
      <c r="C5" t="inlineStr">
        <is>
          <t>レンタルDVD</t>
        </is>
      </c>
      <c r="D5" t="inlineStr">
        <is>
          <t>2026年7月</t>
        </is>
      </c>
      <c r="E5" s="4" t="n">
        <v>260</v>
      </c>
      <c r="F5" s="4" t="n">
        <v>12</v>
      </c>
      <c r="G5" s="4" t="n">
        <v>248</v>
      </c>
      <c r="H5" s="4" t="n">
        <v>420</v>
      </c>
      <c r="I5" s="4" t="n">
        <v>104160</v>
      </c>
      <c r="J5" t="inlineStr">
        <is>
          <t>正常</t>
        </is>
      </c>
    </row>
    <row r="6">
      <c r="A6" t="inlineStr">
        <is>
          <t>DEMO-W03</t>
        </is>
      </c>
      <c r="B6" t="inlineStr">
        <is>
          <t>DEMO-W03-RNT</t>
        </is>
      </c>
      <c r="C6" t="inlineStr">
        <is>
          <t>レンタルBD</t>
        </is>
      </c>
      <c r="D6" t="inlineStr">
        <is>
          <t>2026年7月</t>
        </is>
      </c>
      <c r="E6" s="4" t="n">
        <v>90</v>
      </c>
      <c r="F6" s="4" t="n">
        <v>4</v>
      </c>
      <c r="G6" s="4" t="n">
        <v>86</v>
      </c>
      <c r="H6" s="4" t="n">
        <v>580</v>
      </c>
      <c r="I6" s="4" t="n">
        <v>49880</v>
      </c>
      <c r="J6" t="inlineStr">
        <is>
          <t>正常</t>
        </is>
      </c>
    </row>
    <row r="7">
      <c r="A7" t="inlineStr">
        <is>
          <t>DEMO-W05</t>
        </is>
      </c>
      <c r="B7" t="inlineStr">
        <is>
          <t>DEMO-W05-RNT</t>
        </is>
      </c>
      <c r="C7" t="inlineStr">
        <is>
          <t>レンタルDVD</t>
        </is>
      </c>
      <c r="D7" t="inlineStr">
        <is>
          <t>2026年7月</t>
        </is>
      </c>
      <c r="E7" s="4" t="n">
        <v>140</v>
      </c>
      <c r="F7" s="4" t="n">
        <v>9</v>
      </c>
      <c r="G7" s="4" t="n">
        <v>131</v>
      </c>
      <c r="H7" s="4" t="n">
        <v>420</v>
      </c>
      <c r="I7" s="4" t="n">
        <v>55020</v>
      </c>
      <c r="J7" t="inlineStr">
        <is>
          <t>正常</t>
        </is>
      </c>
    </row>
    <row r="8">
      <c r="A8" t="inlineStr">
        <is>
          <t>DEMO-W09</t>
        </is>
      </c>
      <c r="B8" t="inlineStr">
        <is>
          <t>DEMO-W09-RNT</t>
        </is>
      </c>
      <c r="C8" t="inlineStr">
        <is>
          <t>レンタルDVD</t>
        </is>
      </c>
      <c r="D8" t="inlineStr">
        <is>
          <t>2026年7月</t>
        </is>
      </c>
      <c r="E8" s="4" t="n">
        <v>310</v>
      </c>
      <c r="F8" s="4" t="n">
        <v>15</v>
      </c>
      <c r="G8" s="4" t="n">
        <v>295</v>
      </c>
      <c r="H8" s="4" t="n">
        <v>420</v>
      </c>
      <c r="I8" s="4" t="n">
        <v>123900</v>
      </c>
      <c r="J8" t="inlineStr">
        <is>
          <t>正常</t>
        </is>
      </c>
    </row>
    <row r="9">
      <c r="A9" t="inlineStr">
        <is>
          <t>DEMO-W09</t>
        </is>
      </c>
      <c r="B9" t="inlineStr">
        <is>
          <t>DEMO-W09-RNT</t>
        </is>
      </c>
      <c r="C9" t="inlineStr">
        <is>
          <t>レンタルBD</t>
        </is>
      </c>
      <c r="D9" t="inlineStr">
        <is>
          <t>2026年7月</t>
        </is>
      </c>
      <c r="E9" s="4" t="n">
        <v>120</v>
      </c>
      <c r="F9" s="4" t="n">
        <v>6</v>
      </c>
      <c r="G9" s="4" t="n">
        <v>114</v>
      </c>
      <c r="H9" s="4" t="n">
        <v>580</v>
      </c>
      <c r="I9" s="4" t="n">
        <v>66120</v>
      </c>
      <c r="J9" t="inlineStr">
        <is>
          <t>正常</t>
        </is>
      </c>
    </row>
    <row r="10">
      <c r="A10" t="inlineStr">
        <is>
          <t>DEMO-W14</t>
        </is>
      </c>
      <c r="B10" t="inlineStr">
        <is>
          <t>DEMO-W14-RNT</t>
        </is>
      </c>
      <c r="C10" t="inlineStr">
        <is>
          <t>レンタルDVD</t>
        </is>
      </c>
      <c r="D10" t="inlineStr">
        <is>
          <t>2026年7月</t>
        </is>
      </c>
      <c r="E10" s="4" t="n">
        <v>420</v>
      </c>
      <c r="F10" s="4" t="n">
        <v>18</v>
      </c>
      <c r="G10" s="4" t="n">
        <v>402</v>
      </c>
      <c r="H10" s="4" t="n">
        <v>420</v>
      </c>
      <c r="I10" s="4" t="n">
        <v>168840</v>
      </c>
      <c r="J10" t="inlineStr">
        <is>
          <t>正常</t>
        </is>
      </c>
    </row>
    <row r="11">
      <c r="A11" t="inlineStr">
        <is>
          <t>DEMO-W17</t>
        </is>
      </c>
      <c r="B11" t="inlineStr">
        <is>
          <t>DEMO-W17-RNT</t>
        </is>
      </c>
      <c r="C11" t="inlineStr">
        <is>
          <t>レンタルDVD</t>
        </is>
      </c>
      <c r="D11" t="inlineStr">
        <is>
          <t>2026年7月</t>
        </is>
      </c>
      <c r="E11" s="4" t="n">
        <v>180</v>
      </c>
      <c r="F11" s="4" t="n">
        <v>7</v>
      </c>
      <c r="G11" s="4" t="n">
        <v>173</v>
      </c>
      <c r="H11" s="4" t="n">
        <v>420</v>
      </c>
      <c r="I11" s="4" t="n">
        <v>72660</v>
      </c>
      <c r="J11" t="inlineStr">
        <is>
          <t>正常</t>
        </is>
      </c>
    </row>
    <row r="12">
      <c r="A12" s="5" t="inlineStr">
        <is>
          <t>DEMO-W09</t>
        </is>
      </c>
      <c r="B12" s="5" t="inlineStr">
        <is>
          <t>DEMO-W09-RNT</t>
        </is>
      </c>
      <c r="C12" s="5" t="inlineStr">
        <is>
          <t>レンタルDVD</t>
        </is>
      </c>
      <c r="D12" s="5" t="inlineStr">
        <is>
          <t>2026年7月</t>
        </is>
      </c>
      <c r="E12" s="6" t="n">
        <v>40</v>
      </c>
      <c r="F12" s="6" t="n">
        <v>75</v>
      </c>
      <c r="G12" s="6" t="n">
        <v>-35</v>
      </c>
      <c r="H12" s="6" t="n">
        <v>500</v>
      </c>
      <c r="I12" s="6" t="n">
        <v>21000</v>
      </c>
      <c r="J12" s="5" t="inlineStr">
        <is>
          <t>要修正: 返品超過・正味額不一致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" customWidth="1" min="3" max="3"/>
    <col width="12" customWidth="1" min="4" max="4"/>
    <col width="16" customWidth="1" min="5" max="5"/>
    <col width="14" customWidth="1" min="6" max="6"/>
    <col width="18" customWidth="1" min="7" max="7"/>
  </cols>
  <sheetData>
    <row r="1">
      <c r="A1" s="1" t="inlineStr">
        <is>
          <t>検証項目</t>
        </is>
      </c>
      <c r="B1" s="1" t="inlineStr">
        <is>
          <t>期待値</t>
        </is>
      </c>
      <c r="C1" s="1" t="n"/>
      <c r="D1" s="1" t="inlineStr">
        <is>
          <t>Details の行</t>
        </is>
      </c>
      <c r="E1" s="1" t="inlineStr">
        <is>
          <t>正味数量再計算</t>
        </is>
      </c>
      <c r="F1" s="1" t="inlineStr">
        <is>
          <t>正味額再計算</t>
        </is>
      </c>
      <c r="G1" s="1" t="inlineStr">
        <is>
          <t>報告の正味額との差</t>
        </is>
      </c>
    </row>
    <row r="2">
      <c r="A2" t="inlineStr">
        <is>
          <t>注意</t>
        </is>
      </c>
      <c r="B2" t="inlineStr">
        <is>
          <t>非公式・架空データ・実在企業発行書式ではありません。取込・加工テスト専用。</t>
        </is>
      </c>
      <c r="D2" t="n">
        <v>5</v>
      </c>
      <c r="E2" s="4">
        <f>Details!E5-Details!F5</f>
        <v/>
      </c>
      <c r="F2" s="4">
        <f>E2*Details!H5</f>
        <v/>
      </c>
      <c r="G2" s="4">
        <f>F2-Details!I5</f>
        <v/>
      </c>
    </row>
    <row r="3">
      <c r="A3" t="inlineStr">
        <is>
          <t>取引先</t>
        </is>
      </c>
      <c r="B3" t="inlineStr">
        <is>
          <t>架空レンタルチェーン（架空）（DEMO-RNT-A）</t>
        </is>
      </c>
      <c r="D3" t="n">
        <v>6</v>
      </c>
      <c r="E3" s="4">
        <f>Details!E6-Details!F6</f>
        <v/>
      </c>
      <c r="F3" s="4">
        <f>E3*Details!H6</f>
        <v/>
      </c>
      <c r="G3" s="4">
        <f>F3-Details!I6</f>
        <v/>
      </c>
    </row>
    <row r="4">
      <c r="A4" t="inlineStr">
        <is>
          <t>報告の種類</t>
        </is>
      </c>
      <c r="B4" t="inlineStr">
        <is>
          <t>ビデオグラム</t>
        </is>
      </c>
      <c r="D4" t="n">
        <v>7</v>
      </c>
      <c r="E4" s="4">
        <f>Details!E7-Details!F7</f>
        <v/>
      </c>
      <c r="F4" s="4">
        <f>E4*Details!H7</f>
        <v/>
      </c>
      <c r="G4" s="4">
        <f>F4-Details!I7</f>
        <v/>
      </c>
    </row>
    <row r="5">
      <c r="A5" t="inlineStr">
        <is>
          <t>正常行数</t>
        </is>
      </c>
      <c r="B5" t="n">
        <v>7</v>
      </c>
      <c r="D5" t="n">
        <v>8</v>
      </c>
      <c r="E5" s="4">
        <f>Details!E8-Details!F8</f>
        <v/>
      </c>
      <c r="F5" s="4">
        <f>E5*Details!H8</f>
        <v/>
      </c>
      <c r="G5" s="4">
        <f>F5-Details!I8</f>
        <v/>
      </c>
    </row>
    <row r="6">
      <c r="A6" t="inlineStr">
        <is>
          <t>作品数</t>
        </is>
      </c>
      <c r="B6" t="n">
        <v>5</v>
      </c>
      <c r="D6" t="n">
        <v>9</v>
      </c>
      <c r="E6" s="4">
        <f>Details!E9-Details!F9</f>
        <v/>
      </c>
      <c r="F6" s="4">
        <f>E6*Details!H9</f>
        <v/>
      </c>
      <c r="G6" s="4">
        <f>F6-Details!I9</f>
        <v/>
      </c>
    </row>
    <row r="7">
      <c r="A7" t="inlineStr">
        <is>
          <t>正味数量合計</t>
        </is>
      </c>
      <c r="B7" s="4" t="n">
        <v>1449</v>
      </c>
      <c r="D7" t="n">
        <v>10</v>
      </c>
      <c r="E7" s="4">
        <f>Details!E10-Details!F10</f>
        <v/>
      </c>
      <c r="F7" s="4">
        <f>E7*Details!H10</f>
        <v/>
      </c>
      <c r="G7" s="4">
        <f>F7-Details!I10</f>
        <v/>
      </c>
    </row>
    <row r="8">
      <c r="A8" t="inlineStr">
        <is>
          <t>正味額合計</t>
        </is>
      </c>
      <c r="B8" s="4" t="n">
        <v>640580</v>
      </c>
      <c r="D8" t="n">
        <v>11</v>
      </c>
      <c r="E8" s="4">
        <f>Details!E11-Details!F11</f>
        <v/>
      </c>
      <c r="F8" s="4">
        <f>E8*Details!H11</f>
        <v/>
      </c>
      <c r="G8" s="4">
        <f>F8-Details!I11</f>
        <v/>
      </c>
    </row>
    <row r="9">
      <c r="A9" t="inlineStr">
        <is>
          <t>要修正行</t>
        </is>
      </c>
      <c r="B9" t="inlineStr">
        <is>
          <t>Details 12行目</t>
        </is>
      </c>
      <c r="D9" t="n">
        <v>12</v>
      </c>
      <c r="E9" s="4">
        <f>Details!E12-Details!F12</f>
        <v/>
      </c>
      <c r="F9" s="4">
        <f>E9*Details!H12</f>
        <v/>
      </c>
      <c r="G9" s="4">
        <f>F9-Details!I12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2026-09-25T22:17:42Z</dcterms:created>
  <dcterms:modified xmlns:dcterms="http://purl.org/dc/terms/" xmlns:xsi="http://www.w3.org/2001/XMLSchema-instance" xsi:type="dcterms:W3CDTF">2026-09-25T22:17:42Z</dcterms:modified>
</cp:coreProperties>
</file>