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検証期待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8EEF4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34" customWidth="1" min="10" max="10"/>
  </cols>
  <sheetData>
    <row r="1">
      <c r="A1" s="1" t="inlineStr">
        <is>
          <t>配信プラットフォーム風 売上報告（架空）</t>
        </is>
      </c>
    </row>
    <row r="2">
      <c r="A2" s="1" t="inlineStr">
        <is>
          <t>非公式・架空データ・実在企業発行書式ではありません。取込・加工テスト専用。</t>
        </is>
      </c>
    </row>
    <row r="3">
      <c r="A3" s="2" t="inlineStr">
        <is>
          <t>対象期間: 2026-07 / 取引先: 架空配信B・都度課金（架空）/ 6作品</t>
        </is>
      </c>
    </row>
    <row r="4">
      <c r="A4" s="3" t="inlineStr">
        <is>
          <t>作品CD</t>
        </is>
      </c>
      <c r="B4" s="3" t="inlineStr">
        <is>
          <t>商品ｺｰﾄﾞ</t>
        </is>
      </c>
      <c r="C4" s="3" t="inlineStr">
        <is>
          <t>配信区分</t>
        </is>
      </c>
      <c r="D4" s="3" t="inlineStr">
        <is>
          <t>対象月</t>
        </is>
      </c>
      <c r="E4" s="3" t="inlineStr">
        <is>
          <t>視聴/契約数</t>
        </is>
      </c>
      <c r="F4" s="3" t="inlineStr">
        <is>
          <t>単価(税抜)</t>
        </is>
      </c>
      <c r="G4" s="3" t="inlineStr">
        <is>
          <t>総額</t>
        </is>
      </c>
      <c r="H4" s="3" t="inlineStr">
        <is>
          <t>PF手数料</t>
        </is>
      </c>
      <c r="I4" s="3" t="inlineStr">
        <is>
          <t>正味売上</t>
        </is>
      </c>
      <c r="J4" s="3" t="inlineStr">
        <is>
          <t>備考</t>
        </is>
      </c>
    </row>
    <row r="5">
      <c r="A5" t="inlineStr">
        <is>
          <t>DEMO-W01</t>
        </is>
      </c>
      <c r="B5" t="inlineStr">
        <is>
          <t>DEMO-W01-DIG</t>
        </is>
      </c>
      <c r="C5" t="inlineStr">
        <is>
          <t>TVOD</t>
        </is>
      </c>
      <c r="D5" t="inlineStr">
        <is>
          <t>2026/07</t>
        </is>
      </c>
      <c r="E5" t="n">
        <v>820</v>
      </c>
      <c r="F5" t="n">
        <v>440</v>
      </c>
      <c r="G5" s="4" t="n">
        <v>360800</v>
      </c>
      <c r="H5" s="4" t="n">
        <v>108240</v>
      </c>
      <c r="I5" s="4" t="n">
        <v>252560</v>
      </c>
      <c r="J5" t="inlineStr">
        <is>
          <t>正常</t>
        </is>
      </c>
    </row>
    <row r="6">
      <c r="A6" t="inlineStr">
        <is>
          <t>DEMO-W01</t>
        </is>
      </c>
      <c r="B6" t="inlineStr">
        <is>
          <t>DEMO-W01-DIG</t>
        </is>
      </c>
      <c r="C6" t="inlineStr">
        <is>
          <t>EST</t>
        </is>
      </c>
      <c r="D6" t="inlineStr">
        <is>
          <t>2026/07</t>
        </is>
      </c>
      <c r="E6" t="n">
        <v>150</v>
      </c>
      <c r="F6" t="n">
        <v>2000</v>
      </c>
      <c r="G6" s="4" t="n">
        <v>300000</v>
      </c>
      <c r="H6" s="4" t="n">
        <v>60000</v>
      </c>
      <c r="I6" s="4" t="n">
        <v>240000</v>
      </c>
      <c r="J6" t="inlineStr">
        <is>
          <t>正常</t>
        </is>
      </c>
    </row>
    <row r="7">
      <c r="A7" t="inlineStr">
        <is>
          <t>DEMO-W04</t>
        </is>
      </c>
      <c r="B7" t="inlineStr">
        <is>
          <t>DEMO-W04-DIG</t>
        </is>
      </c>
      <c r="C7" t="inlineStr">
        <is>
          <t>TVOD</t>
        </is>
      </c>
      <c r="D7" t="inlineStr">
        <is>
          <t>2026/07</t>
        </is>
      </c>
      <c r="E7" t="n">
        <v>610</v>
      </c>
      <c r="F7" t="n">
        <v>440</v>
      </c>
      <c r="G7" s="4" t="n">
        <v>268400</v>
      </c>
      <c r="H7" s="4" t="n">
        <v>80520</v>
      </c>
      <c r="I7" s="4" t="n">
        <v>187880</v>
      </c>
      <c r="J7" t="inlineStr">
        <is>
          <t>正常</t>
        </is>
      </c>
    </row>
    <row r="8">
      <c r="A8" t="inlineStr">
        <is>
          <t>DEMO-W04</t>
        </is>
      </c>
      <c r="B8" t="inlineStr">
        <is>
          <t>DEMO-W04-DIG</t>
        </is>
      </c>
      <c r="C8" t="inlineStr">
        <is>
          <t>EST</t>
        </is>
      </c>
      <c r="D8" t="inlineStr">
        <is>
          <t>2026/07</t>
        </is>
      </c>
      <c r="E8" t="n">
        <v>95</v>
      </c>
      <c r="F8" t="n">
        <v>2000</v>
      </c>
      <c r="G8" s="4" t="n">
        <v>190000</v>
      </c>
      <c r="H8" s="4" t="n">
        <v>38000</v>
      </c>
      <c r="I8" s="4" t="n">
        <v>152000</v>
      </c>
      <c r="J8" t="inlineStr">
        <is>
          <t>正常</t>
        </is>
      </c>
    </row>
    <row r="9">
      <c r="A9" t="inlineStr">
        <is>
          <t>DEMO-W12</t>
        </is>
      </c>
      <c r="B9" t="inlineStr">
        <is>
          <t>DEMO-W12-DIG</t>
        </is>
      </c>
      <c r="C9" t="inlineStr">
        <is>
          <t>TVOD</t>
        </is>
      </c>
      <c r="D9" t="inlineStr">
        <is>
          <t>2026/07</t>
        </is>
      </c>
      <c r="E9" t="n">
        <v>540</v>
      </c>
      <c r="F9" t="n">
        <v>400</v>
      </c>
      <c r="G9" s="4" t="n">
        <v>216000</v>
      </c>
      <c r="H9" s="4" t="n">
        <v>64800</v>
      </c>
      <c r="I9" s="4" t="n">
        <v>151200</v>
      </c>
      <c r="J9" t="inlineStr">
        <is>
          <t>正常</t>
        </is>
      </c>
    </row>
    <row r="10">
      <c r="A10" t="inlineStr">
        <is>
          <t>DEMO-W16</t>
        </is>
      </c>
      <c r="B10" t="inlineStr">
        <is>
          <t>DEMO-W16-DIG</t>
        </is>
      </c>
      <c r="C10" t="inlineStr">
        <is>
          <t>TVOD</t>
        </is>
      </c>
      <c r="D10" t="inlineStr">
        <is>
          <t>2026/07</t>
        </is>
      </c>
      <c r="E10" t="n">
        <v>380</v>
      </c>
      <c r="F10" t="n">
        <v>400</v>
      </c>
      <c r="G10" s="4" t="n">
        <v>152000</v>
      </c>
      <c r="H10" s="4" t="n">
        <v>45600</v>
      </c>
      <c r="I10" s="4" t="n">
        <v>106400</v>
      </c>
      <c r="J10" t="inlineStr">
        <is>
          <t>正常</t>
        </is>
      </c>
    </row>
    <row r="11">
      <c r="A11" t="inlineStr">
        <is>
          <t>DEMO-W19</t>
        </is>
      </c>
      <c r="B11" t="inlineStr">
        <is>
          <t>DEMO-W19-DIG</t>
        </is>
      </c>
      <c r="C11" t="inlineStr">
        <is>
          <t>TVOD</t>
        </is>
      </c>
      <c r="D11" t="inlineStr">
        <is>
          <t>2026/07</t>
        </is>
      </c>
      <c r="E11" t="n">
        <v>1240</v>
      </c>
      <c r="F11" t="n">
        <v>500</v>
      </c>
      <c r="G11" s="4" t="n">
        <v>620000</v>
      </c>
      <c r="H11" s="4" t="n">
        <v>186000</v>
      </c>
      <c r="I11" s="4" t="n">
        <v>434000</v>
      </c>
      <c r="J11" t="inlineStr">
        <is>
          <t>正常</t>
        </is>
      </c>
    </row>
    <row r="12">
      <c r="A12" t="inlineStr">
        <is>
          <t>DEMO-W19</t>
        </is>
      </c>
      <c r="B12" t="inlineStr">
        <is>
          <t>DEMO-W19-DIG</t>
        </is>
      </c>
      <c r="C12" t="inlineStr">
        <is>
          <t>EST</t>
        </is>
      </c>
      <c r="D12" t="inlineStr">
        <is>
          <t>2026/07</t>
        </is>
      </c>
      <c r="E12" t="n">
        <v>210</v>
      </c>
      <c r="F12" t="n">
        <v>2500</v>
      </c>
      <c r="G12" s="4" t="n">
        <v>525000</v>
      </c>
      <c r="H12" s="4" t="n">
        <v>105000</v>
      </c>
      <c r="I12" s="4" t="n">
        <v>420000</v>
      </c>
      <c r="J12" t="inlineStr">
        <is>
          <t>正常</t>
        </is>
      </c>
    </row>
    <row r="13">
      <c r="A13" t="inlineStr">
        <is>
          <t>DEMO-W20</t>
        </is>
      </c>
      <c r="B13" t="inlineStr">
        <is>
          <t>DEMO-W20-DIG</t>
        </is>
      </c>
      <c r="C13" t="inlineStr">
        <is>
          <t>TVOD</t>
        </is>
      </c>
      <c r="D13" t="inlineStr">
        <is>
          <t>2026/07</t>
        </is>
      </c>
      <c r="E13" t="n">
        <v>980</v>
      </c>
      <c r="F13" t="n">
        <v>500</v>
      </c>
      <c r="G13" s="4" t="n">
        <v>490000</v>
      </c>
      <c r="H13" s="4" t="n">
        <v>147000</v>
      </c>
      <c r="I13" s="4" t="n">
        <v>343000</v>
      </c>
      <c r="J13" t="inlineStr">
        <is>
          <t>正常</t>
        </is>
      </c>
    </row>
    <row r="14">
      <c r="A14" s="5" t="inlineStr">
        <is>
          <t>DEMO-W07</t>
        </is>
      </c>
      <c r="B14" s="5" t="n"/>
      <c r="C14" s="5" t="inlineStr">
        <is>
          <t>TVOD</t>
        </is>
      </c>
      <c r="D14" s="5" t="inlineStr">
        <is>
          <t>2026/07</t>
        </is>
      </c>
      <c r="E14" s="5" t="n">
        <v>60</v>
      </c>
      <c r="F14" s="5" t="n">
        <v>400</v>
      </c>
      <c r="G14" s="6" t="n">
        <v>24000</v>
      </c>
      <c r="H14" s="6" t="n">
        <v>7200</v>
      </c>
      <c r="I14" s="6" t="n">
        <v>17000</v>
      </c>
      <c r="J14" s="5" t="inlineStr">
        <is>
          <t>要修正: 商品コード欠落・正味額不一致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検証項目</t>
        </is>
      </c>
      <c r="B1" s="1" t="inlineStr">
        <is>
          <t>期待値</t>
        </is>
      </c>
      <c r="C1" s="1" t="n"/>
      <c r="D1" s="1" t="inlineStr">
        <is>
          <t>Details の行</t>
        </is>
      </c>
      <c r="E1" s="1" t="inlineStr">
        <is>
          <t>総額再計算</t>
        </is>
      </c>
      <c r="F1" s="1" t="inlineStr">
        <is>
          <t>手数料（報告）</t>
        </is>
      </c>
      <c r="G1" s="1" t="inlineStr">
        <is>
          <t>正味再計算</t>
        </is>
      </c>
      <c r="H1" s="1" t="inlineStr">
        <is>
          <t>報告の正味との差</t>
        </is>
      </c>
    </row>
    <row r="2">
      <c r="A2" t="inlineStr">
        <is>
          <t>注意</t>
        </is>
      </c>
      <c r="B2" t="inlineStr">
        <is>
          <t>非公式・架空データ・実在企業発行書式ではありません。取込・加工テスト専用。</t>
        </is>
      </c>
      <c r="D2" t="n">
        <v>5</v>
      </c>
      <c r="E2" s="4">
        <f>Details!E5*Details!F5</f>
        <v/>
      </c>
      <c r="F2" s="4">
        <f>Details!H5</f>
        <v/>
      </c>
      <c r="G2" s="4">
        <f>E2-F2</f>
        <v/>
      </c>
      <c r="H2" s="4">
        <f>G2-Details!I5</f>
        <v/>
      </c>
    </row>
    <row r="3">
      <c r="A3" t="inlineStr">
        <is>
          <t>取引先</t>
        </is>
      </c>
      <c r="B3" t="inlineStr">
        <is>
          <t>架空配信B・都度課金（架空）（DEMO-PF-B）</t>
        </is>
      </c>
      <c r="D3" t="n">
        <v>6</v>
      </c>
      <c r="E3" s="4">
        <f>Details!E6*Details!F6</f>
        <v/>
      </c>
      <c r="F3" s="4">
        <f>Details!H6</f>
        <v/>
      </c>
      <c r="G3" s="4">
        <f>E3-F3</f>
        <v/>
      </c>
      <c r="H3" s="4">
        <f>G3-Details!I6</f>
        <v/>
      </c>
    </row>
    <row r="4">
      <c r="A4" t="inlineStr">
        <is>
          <t>報告の種類</t>
        </is>
      </c>
      <c r="B4" t="inlineStr">
        <is>
          <t>配信</t>
        </is>
      </c>
      <c r="D4" t="n">
        <v>7</v>
      </c>
      <c r="E4" s="4">
        <f>Details!E7*Details!F7</f>
        <v/>
      </c>
      <c r="F4" s="4">
        <f>Details!H7</f>
        <v/>
      </c>
      <c r="G4" s="4">
        <f>E4-F4</f>
        <v/>
      </c>
      <c r="H4" s="4">
        <f>G4-Details!I7</f>
        <v/>
      </c>
    </row>
    <row r="5">
      <c r="A5" t="inlineStr">
        <is>
          <t>正常行数</t>
        </is>
      </c>
      <c r="B5" t="n">
        <v>9</v>
      </c>
      <c r="D5" t="n">
        <v>8</v>
      </c>
      <c r="E5" s="4">
        <f>Details!E8*Details!F8</f>
        <v/>
      </c>
      <c r="F5" s="4">
        <f>Details!H8</f>
        <v/>
      </c>
      <c r="G5" s="4">
        <f>E5-F5</f>
        <v/>
      </c>
      <c r="H5" s="4">
        <f>G5-Details!I8</f>
        <v/>
      </c>
    </row>
    <row r="6">
      <c r="A6" t="inlineStr">
        <is>
          <t>作品数</t>
        </is>
      </c>
      <c r="B6" t="n">
        <v>6</v>
      </c>
      <c r="D6" t="n">
        <v>9</v>
      </c>
      <c r="E6" s="4">
        <f>Details!E9*Details!F9</f>
        <v/>
      </c>
      <c r="F6" s="4">
        <f>Details!H9</f>
        <v/>
      </c>
      <c r="G6" s="4">
        <f>E6-F6</f>
        <v/>
      </c>
      <c r="H6" s="4">
        <f>G6-Details!I9</f>
        <v/>
      </c>
    </row>
    <row r="7">
      <c r="A7" t="inlineStr">
        <is>
          <t>総額合計</t>
        </is>
      </c>
      <c r="B7" s="4" t="n">
        <v>3122200</v>
      </c>
      <c r="D7" t="n">
        <v>10</v>
      </c>
      <c r="E7" s="4">
        <f>Details!E10*Details!F10</f>
        <v/>
      </c>
      <c r="F7" s="4">
        <f>Details!H10</f>
        <v/>
      </c>
      <c r="G7" s="4">
        <f>E7-F7</f>
        <v/>
      </c>
      <c r="H7" s="4">
        <f>G7-Details!I10</f>
        <v/>
      </c>
    </row>
    <row r="8">
      <c r="A8" t="inlineStr">
        <is>
          <t>手数料合計</t>
        </is>
      </c>
      <c r="B8" s="4" t="n">
        <v>835160</v>
      </c>
      <c r="D8" t="n">
        <v>11</v>
      </c>
      <c r="E8" s="4">
        <f>Details!E11*Details!F11</f>
        <v/>
      </c>
      <c r="F8" s="4">
        <f>Details!H11</f>
        <v/>
      </c>
      <c r="G8" s="4">
        <f>E8-F8</f>
        <v/>
      </c>
      <c r="H8" s="4">
        <f>G8-Details!I11</f>
        <v/>
      </c>
    </row>
    <row r="9">
      <c r="A9" t="inlineStr">
        <is>
          <t>正味売上合計</t>
        </is>
      </c>
      <c r="B9" s="4" t="n">
        <v>2287040</v>
      </c>
      <c r="D9" t="n">
        <v>12</v>
      </c>
      <c r="E9" s="4">
        <f>Details!E12*Details!F12</f>
        <v/>
      </c>
      <c r="F9" s="4">
        <f>Details!H12</f>
        <v/>
      </c>
      <c r="G9" s="4">
        <f>E9-F9</f>
        <v/>
      </c>
      <c r="H9" s="4">
        <f>G9-Details!I12</f>
        <v/>
      </c>
    </row>
    <row r="10">
      <c r="A10" t="inlineStr">
        <is>
          <t>要修正行</t>
        </is>
      </c>
      <c r="B10" t="inlineStr">
        <is>
          <t>Details 14行目</t>
        </is>
      </c>
      <c r="D10" t="n">
        <v>13</v>
      </c>
      <c r="E10" s="4">
        <f>Details!E13*Details!F13</f>
        <v/>
      </c>
      <c r="F10" s="4">
        <f>Details!H13</f>
        <v/>
      </c>
      <c r="G10" s="4">
        <f>E10-F10</f>
        <v/>
      </c>
      <c r="H10" s="4">
        <f>G10-Details!I13</f>
        <v/>
      </c>
    </row>
    <row r="11">
      <c r="D11" t="n">
        <v>14</v>
      </c>
      <c r="E11" s="4">
        <f>Details!E14*Details!F14</f>
        <v/>
      </c>
      <c r="F11" s="4">
        <f>Details!H14</f>
        <v/>
      </c>
      <c r="G11" s="4">
        <f>E11-F11</f>
        <v/>
      </c>
      <c r="H11" s="4">
        <f>G11-Details!I14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2026-09-25T22:17:42Z</dcterms:created>
  <dcterms:modified xmlns:dcterms="http://purl.org/dc/terms/" xmlns:xsi="http://www.w3.org/2001/XMLSchema-instance" xsi:type="dcterms:W3CDTF">2026-09-25T22:17:42Z</dcterms:modified>
</cp:coreProperties>
</file>